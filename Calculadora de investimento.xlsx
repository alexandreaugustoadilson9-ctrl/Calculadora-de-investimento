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M\Downloads\"/>
    </mc:Choice>
  </mc:AlternateContent>
  <bookViews>
    <workbookView xWindow="0" yWindow="0" windowWidth="17970" windowHeight="6120"/>
  </bookViews>
  <sheets>
    <sheet name="Plan1" sheetId="1" r:id="rId1"/>
    <sheet name="Plan2" sheetId="2" r:id="rId2"/>
  </sheets>
  <definedNames>
    <definedName name="Aporte">Plan1!$C$17</definedName>
    <definedName name="Património">Plan1!$C$20</definedName>
    <definedName name="Sugst_Inve">Plan1!$H$20</definedName>
    <definedName name="Sugst_Inves">Plan1!$C$14</definedName>
    <definedName name="Taxa_Cart">Plan1!$C$13</definedName>
    <definedName name="Taxa_Renda_Mensal">Plan1!$C$19</definedName>
    <definedName name="Tempo_em_ano">Plan1!$C$18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C31" i="1" l="1"/>
  <c r="D35" i="1" s="1"/>
  <c r="C25" i="1"/>
  <c r="D25" i="1" s="1"/>
  <c r="C26" i="1"/>
  <c r="D26" i="1" s="1"/>
  <c r="C27" i="1"/>
  <c r="D27" i="1" s="1"/>
  <c r="C28" i="1"/>
  <c r="D28" i="1" s="1"/>
  <c r="C24" i="1"/>
  <c r="D24" i="1" s="1"/>
  <c r="C20" i="1"/>
  <c r="C21" i="1" s="1"/>
  <c r="C14" i="1"/>
  <c r="D34" i="1" l="1"/>
  <c r="D38" i="1"/>
  <c r="D36" i="1"/>
  <c r="D37" i="1"/>
  <c r="D39" i="1"/>
  <c r="D40" i="1" l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<sst xmlns="http://schemas.openxmlformats.org/spreadsheetml/2006/main" count="69" uniqueCount="33">
  <si>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</si>
  <si>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</si>
  <si>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</si>
  <si>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</si>
  <si>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Patrimônio acumulado?</t>
  </si>
  <si>
    <t>Dividendos mensais?</t>
  </si>
  <si>
    <t>Quanto em 2 anos</t>
  </si>
  <si>
    <t>Quanto em 5 anos</t>
  </si>
  <si>
    <t>Quanto em 10 anos</t>
  </si>
  <si>
    <t>Quanto em 20 anos</t>
  </si>
  <si>
    <t>Quanto em 30 anos</t>
  </si>
  <si>
    <t>CENÁRIOS</t>
  </si>
  <si>
    <t>DIVIDENDOS</t>
  </si>
  <si>
    <t>CONFIGURAÇÕES</t>
  </si>
  <si>
    <t>Salário</t>
  </si>
  <si>
    <t>Rendimento carteira</t>
  </si>
  <si>
    <t>Perfil</t>
  </si>
  <si>
    <t>Agressivo</t>
  </si>
  <si>
    <t>Valor a ser investido por mês</t>
  </si>
  <si>
    <t>Tipo de Fill</t>
  </si>
  <si>
    <t>Valores</t>
  </si>
  <si>
    <t>Percentual sugerido</t>
  </si>
  <si>
    <t>Papel</t>
  </si>
  <si>
    <t>Tijolo</t>
  </si>
  <si>
    <t>Hibridos</t>
  </si>
  <si>
    <t>FOFs</t>
  </si>
  <si>
    <t>Desevolvimento</t>
  </si>
  <si>
    <t>Hotelarias</t>
  </si>
  <si>
    <t>Conservador</t>
  </si>
  <si>
    <t>Chave</t>
  </si>
  <si>
    <t>Moderado</t>
  </si>
  <si>
    <t>%</t>
  </si>
  <si>
    <t>Sugestão de investimento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</si>
</sst>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8" formatCode="#,##0.00\ &quot;Kz&quot;;[Red]\-#,##0.00\ &quot;Kz&quot;"/>
    <numFmt numFmtId="44" formatCode="_-* #,##0.00\ &quot;Kz&quot;_-;\-* #,##0.00\ &quot;Kz&quot;_-;_-* &quot;-&quot;??\ &quot;Kz&quot;_-;_-@_-"/>
    <numFmt numFmtId="164" formatCode="#,##0.00\ &quot;Kz&quot;"/>
  </numFmts>
  <fonts count="9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theme="0"/>
      <name val="Segoe UI Black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b/>
      <sz val="10"/>
      <color theme="1"/>
      <name val="Calibri"/>
      <family val="2"/>
      <charset val="1"/>
      <scheme val="minor"/>
    </font>
    <font>
      <sz val="8"/>
      <color theme="0"/>
      <name val="Segoe UI Black"/>
      <family val="2"/>
    </font>
    <font>
      <sz val="10"/>
      <color theme="0"/>
      <name val="Calibri"/>
      <family val="2"/>
      <charset val="1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0" tint="-0.14996795556505021"/>
      </left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0" tint="-0.14996795556505021"/>
      </bottom>
      <diagonal/>
    </border>
    <border>
      <left/>
      <right/>
      <top style="thin">
        <color theme="1"/>
      </top>
      <bottom style="thin">
        <color theme="0" tint="-0.14996795556505021"/>
      </bottom>
      <diagonal/>
    </border>
    <border>
      <left/>
      <right style="thin">
        <color theme="1"/>
      </right>
      <top style="thin">
        <color theme="1"/>
      </top>
      <bottom style="thin">
        <color theme="0" tint="-0.1499679555650502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medium">
        <color auto="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1"/>
      </bottom>
      <diagonal/>
    </border>
    <border>
      <left/>
      <right/>
      <top style="thin">
        <color theme="0" tint="-0.14996795556505021"/>
      </top>
      <bottom style="thin">
        <color theme="1"/>
      </bottom>
      <diagonal/>
    </border>
    <border>
      <left/>
      <right style="thin">
        <color theme="1"/>
      </right>
      <top style="thin">
        <color theme="0" tint="-0.14996795556505021"/>
      </top>
      <bottom style="thin">
        <color theme="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/>
      <top style="thin">
        <color theme="0" tint="-0.1499679555650502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auto="1"/>
      </right>
      <top style="thin">
        <color theme="0" tint="-0.1499679555650502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auto="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9">
    <xf numFmtId="0" fontId="0" fillId="0" borderId="0" xfId="0"/>
    <xf numFmtId="0" fontId="0" fillId="4" borderId="0" xfId="0" applyFill="1"/>
    <xf numFmtId="0" fontId="3" fillId="3" borderId="5" xfId="0" applyFont="1" applyFill="1" applyBorder="1" applyAlignment="1">
      <alignment horizontal="left" vertical="center"/>
    </xf>
    <xf numFmtId="0" fontId="8" fillId="0" borderId="0" xfId="0" applyFont="1"/>
    <xf numFmtId="8" fontId="5" fillId="4" borderId="6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8" fontId="5" fillId="4" borderId="2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8" fontId="5" fillId="4" borderId="7" xfId="0" applyNumberFormat="1" applyFont="1" applyFill="1" applyBorder="1" applyAlignment="1">
      <alignment horizontal="center" vertical="center"/>
    </xf>
    <xf numFmtId="8" fontId="5" fillId="4" borderId="4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vertical="center"/>
    </xf>
    <xf numFmtId="0" fontId="2" fillId="2" borderId="0" xfId="3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0" fillId="0" borderId="11" xfId="0" applyBorder="1"/>
    <xf numFmtId="9" fontId="0" fillId="0" borderId="12" xfId="2" applyNumberFormat="1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164" fontId="4" fillId="4" borderId="0" xfId="0" applyNumberFormat="1" applyFont="1" applyFill="1"/>
    <xf numFmtId="0" fontId="2" fillId="2" borderId="0" xfId="3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3" borderId="9" xfId="0" applyFont="1" applyFill="1" applyBorder="1" applyAlignment="1">
      <alignment horizontal="right" vertical="center"/>
    </xf>
    <xf numFmtId="0" fontId="7" fillId="3" borderId="10" xfId="0" applyFont="1" applyFill="1" applyBorder="1" applyAlignment="1">
      <alignment horizontal="right" vertical="center"/>
    </xf>
    <xf numFmtId="0" fontId="0" fillId="0" borderId="14" xfId="0" applyBorder="1"/>
    <xf numFmtId="9" fontId="0" fillId="0" borderId="0" xfId="2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0" fillId="0" borderId="14" xfId="2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5" fillId="0" borderId="15" xfId="0" applyNumberFormat="1" applyFont="1" applyBorder="1" applyAlignment="1">
      <alignment horizontal="right" vertical="center"/>
    </xf>
    <xf numFmtId="164" fontId="5" fillId="0" borderId="16" xfId="0" applyNumberFormat="1" applyFont="1" applyBorder="1" applyAlignment="1">
      <alignment horizontal="right" vertical="center"/>
    </xf>
    <xf numFmtId="164" fontId="5" fillId="0" borderId="17" xfId="0" applyNumberFormat="1" applyFont="1" applyBorder="1" applyAlignment="1">
      <alignment horizontal="right" vertical="center"/>
    </xf>
    <xf numFmtId="9" fontId="5" fillId="0" borderId="15" xfId="2" applyFont="1" applyBorder="1" applyAlignment="1">
      <alignment horizontal="right" vertical="center"/>
    </xf>
    <xf numFmtId="9" fontId="5" fillId="0" borderId="16" xfId="2" applyFont="1" applyBorder="1" applyAlignment="1">
      <alignment horizontal="right" vertical="center"/>
    </xf>
    <xf numFmtId="9" fontId="5" fillId="0" borderId="17" xfId="2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9" xfId="0" applyFont="1" applyBorder="1" applyAlignment="1">
      <alignment horizontal="right" vertical="center"/>
    </xf>
    <xf numFmtId="0" fontId="5" fillId="0" borderId="20" xfId="0" applyFont="1" applyBorder="1" applyAlignment="1">
      <alignment horizontal="right" vertical="center"/>
    </xf>
    <xf numFmtId="0" fontId="5" fillId="0" borderId="8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6" fillId="4" borderId="21" xfId="0" applyFont="1" applyFill="1" applyBorder="1" applyAlignment="1">
      <alignment horizontal="left" vertical="center"/>
    </xf>
    <xf numFmtId="0" fontId="6" fillId="4" borderId="22" xfId="0" applyFont="1" applyFill="1" applyBorder="1" applyAlignment="1">
      <alignment horizontal="left" vertical="center"/>
    </xf>
    <xf numFmtId="0" fontId="0" fillId="3" borderId="23" xfId="0" applyFill="1" applyBorder="1" applyAlignment="1">
      <alignment horizontal="center" vertical="center"/>
    </xf>
    <xf numFmtId="164" fontId="5" fillId="0" borderId="24" xfId="1" applyNumberFormat="1" applyFont="1" applyBorder="1" applyAlignment="1">
      <alignment horizontal="right"/>
    </xf>
    <xf numFmtId="1" fontId="5" fillId="0" borderId="25" xfId="0" applyNumberFormat="1" applyFont="1" applyBorder="1" applyAlignment="1">
      <alignment horizontal="right"/>
    </xf>
    <xf numFmtId="10" fontId="5" fillId="0" borderId="25" xfId="2" applyNumberFormat="1" applyFont="1" applyBorder="1" applyAlignment="1">
      <alignment horizontal="right"/>
    </xf>
    <xf numFmtId="164" fontId="5" fillId="4" borderId="25" xfId="1" applyNumberFormat="1" applyFont="1" applyFill="1" applyBorder="1" applyAlignment="1">
      <alignment horizontal="right"/>
    </xf>
    <xf numFmtId="164" fontId="5" fillId="4" borderId="26" xfId="0" applyNumberFormat="1" applyFont="1" applyFill="1" applyBorder="1" applyAlignment="1">
      <alignment horizontal="right"/>
    </xf>
    <xf numFmtId="0" fontId="0" fillId="3" borderId="27" xfId="0" applyFill="1" applyBorder="1" applyAlignment="1">
      <alignment horizontal="center" vertical="center"/>
    </xf>
    <xf numFmtId="164" fontId="5" fillId="0" borderId="28" xfId="1" applyNumberFormat="1" applyFont="1" applyBorder="1" applyAlignment="1">
      <alignment horizontal="right"/>
    </xf>
    <xf numFmtId="1" fontId="5" fillId="0" borderId="16" xfId="0" applyNumberFormat="1" applyFont="1" applyBorder="1" applyAlignment="1">
      <alignment horizontal="right"/>
    </xf>
    <xf numFmtId="10" fontId="5" fillId="0" borderId="16" xfId="2" applyNumberFormat="1" applyFont="1" applyBorder="1" applyAlignment="1">
      <alignment horizontal="right"/>
    </xf>
    <xf numFmtId="164" fontId="5" fillId="4" borderId="16" xfId="1" applyNumberFormat="1" applyFont="1" applyFill="1" applyBorder="1" applyAlignment="1">
      <alignment horizontal="right"/>
    </xf>
    <xf numFmtId="164" fontId="5" fillId="4" borderId="29" xfId="0" applyNumberFormat="1" applyFont="1" applyFill="1" applyBorder="1" applyAlignment="1">
      <alignment horizontal="right"/>
    </xf>
    <xf numFmtId="0" fontId="3" fillId="5" borderId="8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0" fontId="0" fillId="0" borderId="30" xfId="0" applyBorder="1"/>
    <xf numFmtId="0" fontId="0" fillId="0" borderId="31" xfId="0" applyBorder="1"/>
  </cellXfs>
  <cellStyles count="4">
    <cellStyle name="Moeda" xfId="1" builtinId="4"/>
    <cellStyle name="Neutra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tx>
            <c:strRef>
              <c:f>Plan1!$C$33</c:f>
              <c:strCache>
                <c:ptCount val="1"/>
                <c:pt idx="0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Plan1!$B$34:$B$39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Hibridos</c:v>
                </c:pt>
                <c:pt idx="3">
                  <c:v>FOFs</c:v>
                </c:pt>
                <c:pt idx="4">
                  <c:v>Desevolvimento</c:v>
                </c:pt>
                <c:pt idx="5">
                  <c:v>Hotelarias</c:v>
                </c:pt>
              </c:strCache>
            </c:strRef>
          </c:cat>
          <c:val>
            <c:numRef>
              <c:f>Plan1!$C$34:$C$39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41</xdr:row>
      <xdr:rowOff>147637</xdr:rowOff>
    </xdr:from>
    <xdr:to>
      <xdr:col>3</xdr:col>
      <xdr:colOff>695325</xdr:colOff>
      <xdr:row>56</xdr:row>
      <xdr:rowOff>33337</xdr:rowOff>
    </xdr:to>
    <xdr:graphicFrame macro="">
      <xdr:nvGraphicFramePr>
        <xdr:cNvPr id="3" name="Grá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571499</xdr:colOff>
      <xdr:row>0</xdr:row>
      <xdr:rowOff>171450</xdr:rowOff>
    </xdr:from>
    <xdr:to>
      <xdr:col>5</xdr:col>
      <xdr:colOff>76199</xdr:colOff>
      <xdr:row>9</xdr:row>
      <xdr:rowOff>57150</xdr:rowOff>
    </xdr:to>
    <xdr:pic>
      <xdr:nvPicPr>
        <xdr:cNvPr id="4" name="Imagem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499" y="171450"/>
          <a:ext cx="8086725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1:N51"/>
  <sheetViews>
    <sheetView showGridLines="0" tabSelected="1" topLeftCell="A7" zoomScale="70" zoomScaleNormal="70" workbookViewId="0">
      <selection activeCell="G8" sqref="G8"/>
    </sheetView>
  </sheetViews>
  <sheetFormatPr defaultColWidth="0" defaultRowHeight="15" x14ac:dyDescent="0.25"/>
  <cols>
    <col min="1" max="1" width="9.140625" customWidth="1"/>
    <col min="2" max="2" width="80.85546875" customWidth="1"/>
    <col min="3" max="3" width="27.5703125" customWidth="1"/>
    <col min="4" max="4" width="11" bestFit="1" customWidth="1"/>
    <col min="5" max="5" width="0.140625" customWidth="1"/>
    <col min="6" max="6" width="8.140625" customWidth="1"/>
    <col min="7" max="7" width="10.42578125" customWidth="1"/>
    <col min="8" max="8" width="11.5703125" customWidth="1"/>
    <col min="9" max="9" width="9.140625" customWidth="1"/>
    <col min="10" max="10" width="9.140625" hidden="1" customWidth="1"/>
    <col min="11" max="11" width="14.7109375" hidden="1" customWidth="1"/>
    <col min="12" max="13" width="9.140625" hidden="1" customWidth="1"/>
    <col min="14" max="14" width="4.5703125" hidden="1" customWidth="1"/>
    <col min="15" max="16384" width="9.140625" hidden="1"/>
  </cols>
  <sheetData>
    <row r="11" spans="2:5" ht="16.5" x14ac:dyDescent="0.25">
      <c r="B11" s="54" t="s">
        <v>13</v>
      </c>
      <c r="C11" s="55"/>
      <c r="D11" s="55"/>
      <c r="E11" s="56"/>
    </row>
    <row r="12" spans="2:5" x14ac:dyDescent="0.25">
      <c r="B12" s="27" t="s">
        <v>14</v>
      </c>
      <c r="C12" s="29">
        <v>3000</v>
      </c>
      <c r="D12" s="30"/>
      <c r="E12" s="31"/>
    </row>
    <row r="13" spans="2:5" x14ac:dyDescent="0.25">
      <c r="B13" s="27" t="s">
        <v>15</v>
      </c>
      <c r="C13" s="32">
        <v>6.0000000000000001E-3</v>
      </c>
      <c r="D13" s="33"/>
      <c r="E13" s="34"/>
    </row>
    <row r="14" spans="2:5" x14ac:dyDescent="0.25">
      <c r="B14" s="28" t="s">
        <v>32</v>
      </c>
      <c r="C14" s="35">
        <f>C12*30%</f>
        <v>900</v>
      </c>
      <c r="D14" s="36"/>
      <c r="E14" s="37"/>
    </row>
    <row r="16" spans="2:5" ht="25.5" customHeight="1" x14ac:dyDescent="0.25">
      <c r="B16" s="2" t="s">
        <v>0</v>
      </c>
      <c r="C16" s="48"/>
      <c r="D16" s="42"/>
    </row>
    <row r="17" spans="1:4" x14ac:dyDescent="0.25">
      <c r="B17" s="38" t="s">
        <v>1</v>
      </c>
      <c r="C17" s="49">
        <v>350</v>
      </c>
      <c r="D17" s="43"/>
    </row>
    <row r="18" spans="1:4" x14ac:dyDescent="0.25">
      <c r="B18" s="39" t="s">
        <v>2</v>
      </c>
      <c r="C18" s="50">
        <v>5</v>
      </c>
      <c r="D18" s="44"/>
    </row>
    <row r="19" spans="1:4" x14ac:dyDescent="0.25">
      <c r="B19" s="39" t="s">
        <v>3</v>
      </c>
      <c r="C19" s="51">
        <v>1.0789999999999999E-2</v>
      </c>
      <c r="D19" s="45"/>
    </row>
    <row r="20" spans="1:4" x14ac:dyDescent="0.25">
      <c r="B20" s="40" t="s">
        <v>4</v>
      </c>
      <c r="C20" s="52">
        <f>FV(Taxa_Renda_Mensal,Tempo_em_ano*12,Aporte*-1)</f>
        <v>29321.919899470675</v>
      </c>
      <c r="D20" s="46"/>
    </row>
    <row r="21" spans="1:4" x14ac:dyDescent="0.25">
      <c r="B21" s="41" t="s">
        <v>5</v>
      </c>
      <c r="C21" s="53">
        <f>C20*Taxa_Cart</f>
        <v>175.93151939682406</v>
      </c>
      <c r="D21" s="47"/>
    </row>
    <row r="23" spans="1:4" ht="16.5" x14ac:dyDescent="0.25">
      <c r="B23" s="10" t="s">
        <v>11</v>
      </c>
      <c r="C23" s="21" t="s">
        <v>12</v>
      </c>
      <c r="D23" s="22"/>
    </row>
    <row r="24" spans="1:4" x14ac:dyDescent="0.25">
      <c r="A24" s="3">
        <v>2</v>
      </c>
      <c r="B24" s="5" t="s">
        <v>6</v>
      </c>
      <c r="C24" s="4">
        <f>FV(Taxa_Renda_Mensal,$A24*12,Aporte*-1)</f>
        <v>9529.6695541758254</v>
      </c>
      <c r="D24" s="6">
        <f>C24*Taxa_Cart</f>
        <v>57.178017325054952</v>
      </c>
    </row>
    <row r="25" spans="1:4" x14ac:dyDescent="0.25">
      <c r="A25" s="3">
        <v>5</v>
      </c>
      <c r="B25" s="5" t="s">
        <v>7</v>
      </c>
      <c r="C25" s="4">
        <f>FV(Taxa_Renda_Mensal,$A25*12,Aporte*-1)</f>
        <v>29321.919899470675</v>
      </c>
      <c r="D25" s="6">
        <f>C25*Taxa_Cart</f>
        <v>175.93151939682406</v>
      </c>
    </row>
    <row r="26" spans="1:4" x14ac:dyDescent="0.25">
      <c r="A26" s="3">
        <v>10</v>
      </c>
      <c r="B26" s="5" t="s">
        <v>8</v>
      </c>
      <c r="C26" s="4">
        <f>FV(Taxa_Renda_Mensal,$A26*12,Aporte*-1)</f>
        <v>85149.474385560272</v>
      </c>
      <c r="D26" s="6">
        <f>C26*Taxa_Cart</f>
        <v>510.89684631336166</v>
      </c>
    </row>
    <row r="27" spans="1:4" x14ac:dyDescent="0.25">
      <c r="A27" s="3">
        <v>20</v>
      </c>
      <c r="B27" s="5" t="s">
        <v>9</v>
      </c>
      <c r="C27" s="4">
        <f>FV(Taxa_Renda_Mensal,$A27*12,Aporte*-1)</f>
        <v>393819.4400339782</v>
      </c>
      <c r="D27" s="6">
        <f>C27*Taxa_Cart</f>
        <v>2362.9166402038691</v>
      </c>
    </row>
    <row r="28" spans="1:4" x14ac:dyDescent="0.25">
      <c r="A28" s="3">
        <v>30</v>
      </c>
      <c r="B28" s="7" t="s">
        <v>10</v>
      </c>
      <c r="C28" s="8">
        <f>FV(Taxa_Renda_Mensal,$A28*12,Aporte*-1)</f>
        <v>1512759.3792516501</v>
      </c>
      <c r="D28" s="9">
        <f>C28*Taxa_Cart</f>
        <v>9076.5562755098999</v>
      </c>
    </row>
    <row r="30" spans="1:4" x14ac:dyDescent="0.25">
      <c r="B30" s="11" t="s">
        <v>16</v>
      </c>
      <c r="C30" s="19" t="s">
        <v>17</v>
      </c>
      <c r="D30" s="19"/>
    </row>
    <row r="31" spans="1:4" x14ac:dyDescent="0.25">
      <c r="B31" s="12" t="s">
        <v>18</v>
      </c>
      <c r="C31" s="20">
        <f>Aporte</f>
        <v>350</v>
      </c>
      <c r="D31" s="20"/>
    </row>
    <row r="33" spans="2:4" x14ac:dyDescent="0.25">
      <c r="B33" s="14" t="s">
        <v>19</v>
      </c>
      <c r="C33" s="14" t="s">
        <v>21</v>
      </c>
      <c r="D33" s="14" t="s">
        <v>20</v>
      </c>
    </row>
    <row r="34" spans="2:4" x14ac:dyDescent="0.25">
      <c r="B34" s="57" t="s">
        <v>22</v>
      </c>
      <c r="C34" s="16">
        <f>VLOOKUP($C$30&amp;"-"&amp;B34,Plan2!A3:D21,4,FALSE)</f>
        <v>0.5</v>
      </c>
      <c r="D34" s="17">
        <f>$C$31*C34</f>
        <v>175</v>
      </c>
    </row>
    <row r="35" spans="2:4" x14ac:dyDescent="0.25">
      <c r="B35" s="58" t="s">
        <v>23</v>
      </c>
      <c r="C35" s="16">
        <f>VLOOKUP($C$30&amp;"-"&amp;B35,Plan2!A4:D22,4,FALSE)</f>
        <v>0.1</v>
      </c>
      <c r="D35" s="17">
        <f t="shared" ref="D35:D39" si="0">$C$31*C35</f>
        <v>35</v>
      </c>
    </row>
    <row r="36" spans="2:4" x14ac:dyDescent="0.25">
      <c r="B36" s="58" t="s">
        <v>24</v>
      </c>
      <c r="C36" s="16">
        <f>VLOOKUP($C$30&amp;"-"&amp;B36,Plan2!A5:D23,4,FALSE)</f>
        <v>0.05</v>
      </c>
      <c r="D36" s="17">
        <f t="shared" si="0"/>
        <v>17.5</v>
      </c>
    </row>
    <row r="37" spans="2:4" x14ac:dyDescent="0.25">
      <c r="B37" s="58" t="s">
        <v>25</v>
      </c>
      <c r="C37" s="16">
        <f>VLOOKUP($C$30&amp;"-"&amp;B37,Plan2!A6:D24,4,FALSE)</f>
        <v>0.05</v>
      </c>
      <c r="D37" s="17">
        <f t="shared" si="0"/>
        <v>17.5</v>
      </c>
    </row>
    <row r="38" spans="2:4" x14ac:dyDescent="0.25">
      <c r="B38" s="58" t="s">
        <v>26</v>
      </c>
      <c r="C38" s="16">
        <f>VLOOKUP($C$30&amp;"-"&amp;B38,Plan2!A7:D25,4,FALSE)</f>
        <v>0.2</v>
      </c>
      <c r="D38" s="17">
        <f t="shared" si="0"/>
        <v>70</v>
      </c>
    </row>
    <row r="39" spans="2:4" x14ac:dyDescent="0.25">
      <c r="B39" s="15" t="s">
        <v>27</v>
      </c>
      <c r="C39" s="16">
        <f>VLOOKUP($C$30&amp;"-"&amp;B39,Plan2!A8:D26,4,FALSE)</f>
        <v>0.1</v>
      </c>
      <c r="D39" s="17">
        <f t="shared" si="0"/>
        <v>35</v>
      </c>
    </row>
    <row r="40" spans="2:4" x14ac:dyDescent="0.25">
      <c r="B40" s="1"/>
      <c r="C40" s="1"/>
      <c r="D40" s="18">
        <f>SUM(D34:D39)</f>
        <v>350</v>
      </c>
    </row>
    <row r="51" spans="5:5" x14ac:dyDescent="0.25">
      <c r="E51" s="15"/>
    </row>
  </sheetData>
  <mergeCells count="13">
    <mergeCell ref="C21:D21"/>
    <mergeCell ref="B11:E11"/>
    <mergeCell ref="C16:D16"/>
    <mergeCell ref="C17:D17"/>
    <mergeCell ref="C18:D18"/>
    <mergeCell ref="C19:D19"/>
    <mergeCell ref="C20:D20"/>
    <mergeCell ref="C12:E12"/>
    <mergeCell ref="C13:E13"/>
    <mergeCell ref="C14:E14"/>
    <mergeCell ref="C30:D30"/>
    <mergeCell ref="C31:D31"/>
    <mergeCell ref="C23:D23"/>
  </mergeCells>
  <dataValidations count="1">
    <dataValidation type="list" allowBlank="1" showInputMessage="1" showErrorMessage="1" sqref="C30:D30">
      <formula1>"Conservador,Moderado,Agressivo"</formula1>
    </dataValidation>
  </dataValidations>
  <pageMargins left="0.511811024" right="0.511811024" top="0.78740157499999996" bottom="0.78740157499999996" header="0.31496062000000002" footer="0.31496062000000002"/>
  <pageSetup paperSize="0" orientation="portrait" horizontalDpi="203" verticalDpi="20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21"/>
  <sheetViews>
    <sheetView workbookViewId="0">
      <selection activeCell="H14" sqref="H14"/>
    </sheetView>
  </sheetViews>
  <sheetFormatPr defaultRowHeight="15" x14ac:dyDescent="0.25"/>
  <cols>
    <col min="1" max="1" width="28" bestFit="1" customWidth="1"/>
    <col min="2" max="2" width="12.140625" bestFit="1" customWidth="1"/>
    <col min="3" max="3" width="15.7109375" bestFit="1" customWidth="1"/>
  </cols>
  <sheetData>
    <row r="3" spans="1:4" x14ac:dyDescent="0.25">
      <c r="A3" t="s">
        <v>29</v>
      </c>
      <c r="B3" t="s">
        <v>16</v>
      </c>
      <c r="C3" t="s">
        <v>19</v>
      </c>
      <c r="D3" t="s">
        <v>31</v>
      </c>
    </row>
    <row r="4" spans="1:4" x14ac:dyDescent="0.25">
      <c r="A4" t="str">
        <f>B4&amp;"-"&amp;C4</f>
        <v>Conservador-Papel</v>
      </c>
      <c r="B4" s="13" t="s">
        <v>28</v>
      </c>
      <c r="C4" s="13" t="s">
        <v>22</v>
      </c>
      <c r="D4" s="24">
        <v>0.3</v>
      </c>
    </row>
    <row r="5" spans="1:4" x14ac:dyDescent="0.25">
      <c r="A5" t="str">
        <f t="shared" ref="A5:A21" si="0">B5&amp;"-"&amp;C5</f>
        <v>Conservador-Tijolo</v>
      </c>
      <c r="B5" s="13" t="s">
        <v>28</v>
      </c>
      <c r="C5" s="13" t="s">
        <v>23</v>
      </c>
      <c r="D5" s="24">
        <v>0.5</v>
      </c>
    </row>
    <row r="6" spans="1:4" x14ac:dyDescent="0.25">
      <c r="A6" t="str">
        <f t="shared" si="0"/>
        <v>Conservador-Hibridos</v>
      </c>
      <c r="B6" s="13" t="s">
        <v>28</v>
      </c>
      <c r="C6" s="13" t="s">
        <v>24</v>
      </c>
      <c r="D6" s="24">
        <v>0.1</v>
      </c>
    </row>
    <row r="7" spans="1:4" x14ac:dyDescent="0.25">
      <c r="A7" t="str">
        <f t="shared" si="0"/>
        <v>Conservador-FOFs</v>
      </c>
      <c r="B7" s="13" t="s">
        <v>28</v>
      </c>
      <c r="C7" s="13" t="s">
        <v>25</v>
      </c>
      <c r="D7" s="24">
        <v>0.1</v>
      </c>
    </row>
    <row r="8" spans="1:4" x14ac:dyDescent="0.25">
      <c r="A8" t="str">
        <f t="shared" si="0"/>
        <v>Conservador-Desevolvimento</v>
      </c>
      <c r="B8" s="13" t="s">
        <v>28</v>
      </c>
      <c r="C8" s="13" t="s">
        <v>26</v>
      </c>
      <c r="D8" s="24">
        <v>0</v>
      </c>
    </row>
    <row r="9" spans="1:4" ht="15.75" thickBot="1" x14ac:dyDescent="0.3">
      <c r="A9" s="23" t="str">
        <f t="shared" si="0"/>
        <v>Conservador-Hotelarias</v>
      </c>
      <c r="B9" s="25" t="s">
        <v>28</v>
      </c>
      <c r="C9" s="25" t="s">
        <v>27</v>
      </c>
      <c r="D9" s="26">
        <v>0</v>
      </c>
    </row>
    <row r="10" spans="1:4" x14ac:dyDescent="0.25">
      <c r="A10" t="str">
        <f t="shared" si="0"/>
        <v>Moderado-Papel</v>
      </c>
      <c r="B10" s="13" t="s">
        <v>30</v>
      </c>
      <c r="C10" s="13" t="s">
        <v>22</v>
      </c>
      <c r="D10" s="24">
        <v>0.32</v>
      </c>
    </row>
    <row r="11" spans="1:4" x14ac:dyDescent="0.25">
      <c r="A11" t="str">
        <f t="shared" si="0"/>
        <v>Moderado-Tijolo</v>
      </c>
      <c r="B11" s="13" t="s">
        <v>30</v>
      </c>
      <c r="C11" s="13" t="s">
        <v>23</v>
      </c>
      <c r="D11" s="24">
        <v>0.35</v>
      </c>
    </row>
    <row r="12" spans="1:4" x14ac:dyDescent="0.25">
      <c r="A12" t="str">
        <f t="shared" si="0"/>
        <v>Moderado-Hibridos</v>
      </c>
      <c r="B12" s="13" t="s">
        <v>30</v>
      </c>
      <c r="C12" s="13" t="s">
        <v>24</v>
      </c>
      <c r="D12" s="24">
        <v>0.08</v>
      </c>
    </row>
    <row r="13" spans="1:4" x14ac:dyDescent="0.25">
      <c r="A13" t="str">
        <f t="shared" si="0"/>
        <v>Moderado-FOFs</v>
      </c>
      <c r="B13" s="13" t="s">
        <v>30</v>
      </c>
      <c r="C13" s="13" t="s">
        <v>25</v>
      </c>
      <c r="D13" s="24">
        <v>0.05</v>
      </c>
    </row>
    <row r="14" spans="1:4" x14ac:dyDescent="0.25">
      <c r="A14" t="str">
        <f t="shared" si="0"/>
        <v>Moderado-Desevolvimento</v>
      </c>
      <c r="B14" s="13" t="s">
        <v>30</v>
      </c>
      <c r="C14" s="13" t="s">
        <v>26</v>
      </c>
      <c r="D14" s="24">
        <v>0.1</v>
      </c>
    </row>
    <row r="15" spans="1:4" ht="15.75" thickBot="1" x14ac:dyDescent="0.3">
      <c r="A15" s="23" t="str">
        <f t="shared" si="0"/>
        <v>Moderado-Hotelarias</v>
      </c>
      <c r="B15" s="25" t="s">
        <v>30</v>
      </c>
      <c r="C15" s="25" t="s">
        <v>27</v>
      </c>
      <c r="D15" s="26">
        <v>0.1</v>
      </c>
    </row>
    <row r="16" spans="1:4" x14ac:dyDescent="0.25">
      <c r="A16" t="str">
        <f t="shared" si="0"/>
        <v>Agressivo-Papel</v>
      </c>
      <c r="B16" s="13" t="s">
        <v>17</v>
      </c>
      <c r="C16" s="13" t="s">
        <v>22</v>
      </c>
      <c r="D16" s="24">
        <v>0.5</v>
      </c>
    </row>
    <row r="17" spans="1:4" x14ac:dyDescent="0.25">
      <c r="A17" t="str">
        <f t="shared" si="0"/>
        <v>Agressivo-Tijolo</v>
      </c>
      <c r="B17" s="13" t="s">
        <v>17</v>
      </c>
      <c r="C17" s="13" t="s">
        <v>23</v>
      </c>
      <c r="D17" s="24">
        <v>0.1</v>
      </c>
    </row>
    <row r="18" spans="1:4" x14ac:dyDescent="0.25">
      <c r="A18" t="str">
        <f t="shared" si="0"/>
        <v>Agressivo-Hibridos</v>
      </c>
      <c r="B18" s="13" t="s">
        <v>17</v>
      </c>
      <c r="C18" s="13" t="s">
        <v>24</v>
      </c>
      <c r="D18" s="24">
        <v>0.05</v>
      </c>
    </row>
    <row r="19" spans="1:4" x14ac:dyDescent="0.25">
      <c r="A19" t="str">
        <f t="shared" si="0"/>
        <v>Agressivo-FOFs</v>
      </c>
      <c r="B19" s="13" t="s">
        <v>17</v>
      </c>
      <c r="C19" s="13" t="s">
        <v>25</v>
      </c>
      <c r="D19" s="24">
        <v>0.05</v>
      </c>
    </row>
    <row r="20" spans="1:4" x14ac:dyDescent="0.25">
      <c r="A20" t="str">
        <f t="shared" si="0"/>
        <v>Agressivo-Desevolvimento</v>
      </c>
      <c r="B20" s="13" t="s">
        <v>17</v>
      </c>
      <c r="C20" s="13" t="s">
        <v>26</v>
      </c>
      <c r="D20" s="24">
        <v>0.2</v>
      </c>
    </row>
    <row r="21" spans="1:4" x14ac:dyDescent="0.25">
      <c r="A21" t="str">
        <f t="shared" si="0"/>
        <v>Agressivo-Hotelarias</v>
      </c>
      <c r="B21" s="13" t="s">
        <v>17</v>
      </c>
      <c r="C21" s="13" t="s">
        <v>27</v>
      </c>
      <c r="D21" s="24">
        <v>0.1</v>
      </c>
    </row>
  </sheetData>
  <pageMargins left="0.511811024" right="0.511811024" top="0.78740157499999996" bottom="0.78740157499999996" header="0.31496062000000002" footer="0.31496062000000002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Plan1</vt:lpstr>
      <vt:lpstr>Plan2</vt:lpstr>
      <vt:lpstr>Aporte</vt:lpstr>
      <vt:lpstr>Património</vt:lpstr>
      <vt:lpstr>Sugst_Inve</vt:lpstr>
      <vt:lpstr>Sugst_Inves</vt:lpstr>
      <vt:lpstr>Taxa_Cart</vt:lpstr>
      <vt:lpstr>Taxa_Renda_Mensal</vt:lpstr>
      <vt:lpstr>Tempo_em_ano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VEM</dc:creator>
  <cp:lastModifiedBy>VEM</cp:lastModifiedBy>
  <dcterms:created xsi:type="dcterms:W3CDTF">2026-09-18T08:47:36Z</dcterms:created>
  <dcterms:modified xsi:type="dcterms:W3CDTF">2026-09-20T11:31:02Z</dcterms:modified>
</cp:coreProperties>
</file>